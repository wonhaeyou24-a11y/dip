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○○터널 절취사면" state="visible" r:id="rId4"/>
  </sheets>
  <calcPr calcId="171027"/>
</workbook>
</file>

<file path=xl/sharedStrings.xml><?xml version="1.0" encoding="utf-8"?>
<sst xmlns="http://schemas.openxmlformats.org/spreadsheetml/2006/main" count="154" uniqueCount="66">
  <si>
    <t>불연속면 특성 (Site-A) : 측점 58m 비탈면 하부</t>
  </si>
  <si>
    <t>시설물: ○○터널 절취사면    |    조사자: 홍길동    |    조사일: 2026-09-03</t>
  </si>
  <si>
    <t>구 성</t>
  </si>
  <si>
    <t>Set 1</t>
  </si>
  <si>
    <t>Set 2</t>
  </si>
  <si>
    <t>Set 3</t>
  </si>
  <si>
    <t>종 류</t>
  </si>
  <si>
    <t>절리</t>
  </si>
  <si>
    <t>방향성</t>
  </si>
  <si>
    <t>83/089</t>
  </si>
  <si>
    <t>89/329</t>
  </si>
  <si>
    <t>12/148</t>
  </si>
  <si>
    <t>간 격</t>
  </si>
  <si>
    <t>0.2 ~ 0.6m</t>
  </si>
  <si>
    <t>① 연장성</t>
  </si>
  <si>
    <t>1~3m 미만</t>
  </si>
  <si>
    <t>1~2</t>
  </si>
  <si>
    <t>② 틈새</t>
  </si>
  <si>
    <t>0.1~1mm 미만</t>
  </si>
  <si>
    <t>3~4</t>
  </si>
  <si>
    <t>③ 거칠기</t>
  </si>
  <si>
    <t>약간 거침</t>
  </si>
  <si>
    <t>④ 충진물질</t>
  </si>
  <si>
    <t>연약&lt; 5mm</t>
  </si>
  <si>
    <t>5~6</t>
  </si>
  <si>
    <t>⑤ 풍화도</t>
  </si>
  <si>
    <t>보통 풍화</t>
  </si>
  <si>
    <t/>
  </si>
  <si>
    <t>합 계</t>
  </si>
  <si>
    <t>산술평균</t>
  </si>
  <si>
    <t>절리상태점수</t>
  </si>
  <si>
    <t>반발경도</t>
  </si>
  <si>
    <t>45</t>
  </si>
  <si>
    <t>강 도</t>
  </si>
  <si>
    <t>106.4  MPa</t>
  </si>
  <si>
    <t>누 수</t>
  </si>
  <si>
    <t>완전건조</t>
  </si>
  <si>
    <t>암괴크기</t>
  </si>
  <si>
    <t>0.6m × 0.6m × 0.6m</t>
  </si>
  <si>
    <t>조사 사진</t>
  </si>
  <si>
    <t>［ 사진 첨부 영역 ］</t>
  </si>
  <si>
    <t>조사 전경사진 ①</t>
  </si>
  <si>
    <t>조사 전경사진 ②</t>
  </si>
  <si>
    <t>절리 측정 사진</t>
  </si>
  <si>
    <t>거칠기 조사 사진</t>
  </si>
  <si>
    <t>슈미트(반발경도) 측정 사진</t>
  </si>
  <si>
    <t>주향/경사 측정 사진</t>
  </si>
  <si>
    <t>점검망치 조사 사진</t>
  </si>
  <si>
    <t>불연속면 특성 (Site-B) : 측점 122m 비탈면 중단부</t>
  </si>
  <si>
    <t>층리</t>
  </si>
  <si>
    <t>75/275</t>
  </si>
  <si>
    <t>20/095</t>
  </si>
  <si>
    <t>0.06 ~ 0.2m</t>
  </si>
  <si>
    <t>3~10m 미만</t>
  </si>
  <si>
    <t>10~20m 미만</t>
  </si>
  <si>
    <t>1~5mm 미만</t>
  </si>
  <si>
    <t>&lt; 0.1mm</t>
  </si>
  <si>
    <t>거침</t>
  </si>
  <si>
    <t>연약≥ 5mm</t>
  </si>
  <si>
    <t>7~8</t>
  </si>
  <si>
    <t>단단&lt; 5mm</t>
  </si>
  <si>
    <t>심한 풍화</t>
  </si>
  <si>
    <t>38</t>
  </si>
  <si>
    <t>74.2  MPa</t>
  </si>
  <si>
    <t>습함</t>
  </si>
  <si>
    <t>0.4m × 0.6m × 1.2m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</si>
</sst>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color rgb="FF666666"/>
      <sz val="9"/>
    </font>
    <font>
      <b/>
    </font>
    <font>
      <b/>
      <color rgb="FFFF0000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2"/>
  <sheetViews>
    <sheetView workbookViewId="0" showGridLines="0"/>
  </sheetViews>
  <sheetFormatPr defaultRowHeight="15" outlineLevelRow="0" outlineLevelCol="0" x14ac:dyDescent="55"/>
  <cols>
    <col min="1" max="1" width="13" customWidth="1"/>
    <col min="2" max="2" width="17" customWidth="1"/>
    <col min="3" max="3" width="8" customWidth="1"/>
    <col min="4" max="4" width="6" customWidth="1"/>
    <col min="5" max="5" width="17" customWidth="1"/>
    <col min="6" max="6" width="8" customWidth="1"/>
    <col min="7" max="7" width="6" customWidth="1"/>
    <col min="8" max="8" width="17" customWidth="1"/>
    <col min="9" max="9" width="8" customWidth="1"/>
    <col min="10" max="10" width="6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 t="s">
        <v>3</v>
      </c>
      <c r="C3" s="3"/>
      <c r="D3" s="3"/>
      <c r="E3" s="3" t="s">
        <v>4</v>
      </c>
      <c r="F3" s="3"/>
      <c r="G3" s="3"/>
      <c r="H3" s="3" t="s">
        <v>5</v>
      </c>
      <c r="I3" s="3"/>
      <c r="J3" s="3"/>
    </row>
    <row r="4" spans="1:10" x14ac:dyDescent="0.25">
      <c r="A4" s="4" t="s">
        <v>6</v>
      </c>
      <c r="B4" s="5" t="s">
        <v>7</v>
      </c>
      <c r="C4" s="5"/>
      <c r="D4" s="5"/>
      <c r="E4" s="5" t="s">
        <v>7</v>
      </c>
      <c r="F4" s="5"/>
      <c r="G4" s="5"/>
      <c r="H4" s="5" t="s">
        <v>7</v>
      </c>
      <c r="I4" s="5"/>
      <c r="J4" s="5"/>
    </row>
    <row r="5" spans="1:10" x14ac:dyDescent="0.25">
      <c r="A5" s="4" t="s">
        <v>8</v>
      </c>
      <c r="B5" s="6" t="s">
        <v>9</v>
      </c>
      <c r="C5" s="6"/>
      <c r="D5" s="6"/>
      <c r="E5" s="6" t="s">
        <v>10</v>
      </c>
      <c r="F5" s="6"/>
      <c r="G5" s="6"/>
      <c r="H5" s="6" t="s">
        <v>11</v>
      </c>
      <c r="I5" s="6"/>
      <c r="J5" s="6"/>
    </row>
    <row r="6" spans="1:10" x14ac:dyDescent="0.25">
      <c r="A6" s="4" t="s">
        <v>12</v>
      </c>
      <c r="B6" s="5" t="s">
        <v>13</v>
      </c>
      <c r="C6" s="5"/>
      <c r="D6" s="5"/>
      <c r="E6" s="5" t="s">
        <v>13</v>
      </c>
      <c r="F6" s="5"/>
      <c r="G6" s="5"/>
      <c r="H6" s="5" t="s">
        <v>13</v>
      </c>
      <c r="I6" s="5"/>
      <c r="J6" s="5"/>
    </row>
    <row r="7" spans="1:10" x14ac:dyDescent="0.25">
      <c r="A7" s="7" t="s">
        <v>14</v>
      </c>
      <c r="B7" s="8" t="s">
        <v>15</v>
      </c>
      <c r="C7" s="5" t="s">
        <v>16</v>
      </c>
      <c r="D7" s="9">
        <v>2</v>
      </c>
      <c r="E7" s="8" t="s">
        <v>15</v>
      </c>
      <c r="F7" s="5" t="s">
        <v>16</v>
      </c>
      <c r="G7" s="9">
        <v>2</v>
      </c>
      <c r="H7" s="8" t="s">
        <v>15</v>
      </c>
      <c r="I7" s="5" t="s">
        <v>16</v>
      </c>
      <c r="J7" s="9">
        <v>2</v>
      </c>
    </row>
    <row r="8" spans="1:10" x14ac:dyDescent="0.25">
      <c r="A8" s="7" t="s">
        <v>17</v>
      </c>
      <c r="B8" s="8" t="s">
        <v>18</v>
      </c>
      <c r="C8" s="5" t="s">
        <v>19</v>
      </c>
      <c r="D8" s="9">
        <v>4</v>
      </c>
      <c r="E8" s="8" t="s">
        <v>18</v>
      </c>
      <c r="F8" s="5" t="s">
        <v>19</v>
      </c>
      <c r="G8" s="9">
        <v>4</v>
      </c>
      <c r="H8" s="8" t="s">
        <v>18</v>
      </c>
      <c r="I8" s="5" t="s">
        <v>19</v>
      </c>
      <c r="J8" s="9">
        <v>4</v>
      </c>
    </row>
    <row r="9" spans="1:10" x14ac:dyDescent="0.25">
      <c r="A9" s="7" t="s">
        <v>20</v>
      </c>
      <c r="B9" s="8" t="s">
        <v>21</v>
      </c>
      <c r="C9" s="5" t="s">
        <v>19</v>
      </c>
      <c r="D9" s="9">
        <v>4</v>
      </c>
      <c r="E9" s="8" t="s">
        <v>21</v>
      </c>
      <c r="F9" s="5" t="s">
        <v>19</v>
      </c>
      <c r="G9" s="9">
        <v>4</v>
      </c>
      <c r="H9" s="8" t="s">
        <v>21</v>
      </c>
      <c r="I9" s="5" t="s">
        <v>19</v>
      </c>
      <c r="J9" s="9">
        <v>4</v>
      </c>
    </row>
    <row r="10" spans="1:10" x14ac:dyDescent="0.25">
      <c r="A10" s="7" t="s">
        <v>22</v>
      </c>
      <c r="B10" s="8" t="s">
        <v>23</v>
      </c>
      <c r="C10" s="5" t="s">
        <v>24</v>
      </c>
      <c r="D10" s="9">
        <v>5</v>
      </c>
      <c r="E10" s="8" t="s">
        <v>23</v>
      </c>
      <c r="F10" s="5" t="s">
        <v>24</v>
      </c>
      <c r="G10" s="9">
        <v>5</v>
      </c>
      <c r="H10" s="8" t="s">
        <v>23</v>
      </c>
      <c r="I10" s="5" t="s">
        <v>24</v>
      </c>
      <c r="J10" s="9">
        <v>5</v>
      </c>
    </row>
    <row r="11" spans="1:10" x14ac:dyDescent="0.25">
      <c r="A11" s="7" t="s">
        <v>25</v>
      </c>
      <c r="B11" s="8" t="s">
        <v>26</v>
      </c>
      <c r="C11" s="5" t="s">
        <v>19</v>
      </c>
      <c r="D11" s="9">
        <v>4</v>
      </c>
      <c r="E11" s="8" t="s">
        <v>26</v>
      </c>
      <c r="F11" s="5" t="s">
        <v>19</v>
      </c>
      <c r="G11" s="9">
        <v>4</v>
      </c>
      <c r="H11" s="8" t="s">
        <v>26</v>
      </c>
      <c r="I11" s="5" t="s">
        <v>19</v>
      </c>
      <c r="J11" s="9">
        <v>4</v>
      </c>
    </row>
    <row r="12" spans="1:10" x14ac:dyDescent="0.25">
      <c r="A12" s="4" t="s">
        <v>27</v>
      </c>
      <c r="B12" s="4" t="s">
        <v>28</v>
      </c>
      <c r="C12" s="4"/>
      <c r="D12" s="10">
        <f>SUM(D7:D11)</f>
      </c>
      <c r="E12" s="4" t="s">
        <v>28</v>
      </c>
      <c r="F12" s="4"/>
      <c r="G12" s="10">
        <f>SUM(G7:G11)</f>
      </c>
      <c r="H12" s="4" t="s">
        <v>28</v>
      </c>
      <c r="I12" s="4"/>
      <c r="J12" s="10">
        <f>SUM(J7:J11)</f>
      </c>
    </row>
    <row r="13" spans="1:10" x14ac:dyDescent="0.25">
      <c r="A13" s="4" t="s">
        <v>27</v>
      </c>
      <c r="B13" s="4" t="s">
        <v>29</v>
      </c>
      <c r="C13" s="4"/>
      <c r="D13" s="5">
        <f>ROUND(D12/5,1)</f>
      </c>
      <c r="E13" s="4" t="s">
        <v>29</v>
      </c>
      <c r="F13" s="4"/>
      <c r="G13" s="5">
        <f>ROUND(G12/5,1)</f>
      </c>
      <c r="H13" s="4" t="s">
        <v>29</v>
      </c>
      <c r="I13" s="4"/>
      <c r="J13" s="5">
        <f>ROUND(J12/5,1)</f>
      </c>
    </row>
    <row r="14" spans="1:10" x14ac:dyDescent="0.25">
      <c r="A14" s="3" t="s">
        <v>30</v>
      </c>
      <c r="B14" s="10">
        <f>D12&amp;"/5 = "&amp;TEXT(D13,"0.0")&amp;" → "&amp;ROUND(D13,0)</f>
      </c>
      <c r="C14" s="10"/>
      <c r="D14" s="10"/>
      <c r="E14" s="10">
        <f>G12&amp;"/5 = "&amp;TEXT(G13,"0.0")&amp;" → "&amp;ROUND(G13,0)</f>
      </c>
      <c r="F14" s="10"/>
      <c r="G14" s="10"/>
      <c r="H14" s="10">
        <f>J12&amp;"/5 = "&amp;TEXT(J13,"0.0")&amp;" → "&amp;ROUND(J13,0)</f>
      </c>
      <c r="I14" s="10"/>
      <c r="J14" s="10"/>
    </row>
    <row r="15" spans="1:10" x14ac:dyDescent="0.25">
      <c r="A15" s="4" t="s">
        <v>31</v>
      </c>
      <c r="B15" s="5" t="s">
        <v>32</v>
      </c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4" t="s">
        <v>33</v>
      </c>
      <c r="B16" s="5" t="s">
        <v>34</v>
      </c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4" t="s">
        <v>35</v>
      </c>
      <c r="B17" s="5" t="s">
        <v>36</v>
      </c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4" t="s">
        <v>37</v>
      </c>
      <c r="B18" s="5" t="s">
        <v>38</v>
      </c>
      <c r="C18" s="5"/>
      <c r="D18" s="5"/>
      <c r="E18" s="5"/>
      <c r="F18" s="5"/>
      <c r="G18" s="5"/>
      <c r="H18" s="5"/>
      <c r="I18" s="5"/>
      <c r="J18" s="5"/>
    </row>
    <row r="20" spans="1:10" x14ac:dyDescent="0.25">
      <c r="A20" s="11" t="s">
        <v>39</v>
      </c>
      <c r="B20" s="11"/>
      <c r="C20" s="11"/>
      <c r="D20" s="11"/>
      <c r="E20" s="11"/>
      <c r="F20" s="11"/>
      <c r="G20" s="11"/>
      <c r="H20" s="11"/>
      <c r="I20" s="11"/>
      <c r="J20" s="11"/>
    </row>
    <row r="21" ht="16" customHeight="1" spans="1:10" x14ac:dyDescent="0.25">
      <c r="A21" s="12" t="s">
        <v>40</v>
      </c>
      <c r="B21" s="12"/>
      <c r="C21" s="12"/>
      <c r="D21" s="12"/>
      <c r="E21" s="12"/>
      <c r="F21" s="12" t="s">
        <v>40</v>
      </c>
      <c r="G21" s="12"/>
      <c r="H21" s="12"/>
      <c r="I21" s="12"/>
      <c r="J21" s="12"/>
    </row>
    <row r="22" ht="16" customHeight="1" spans="1:1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ht="16" customHeight="1" spans="1:1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ht="16" customHeight="1" spans="1:1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3" t="s">
        <v>41</v>
      </c>
      <c r="B25" s="13"/>
      <c r="C25" s="13"/>
      <c r="D25" s="13"/>
      <c r="E25" s="13"/>
      <c r="F25" s="13" t="s">
        <v>42</v>
      </c>
      <c r="G25" s="13"/>
      <c r="H25" s="13"/>
      <c r="I25" s="13"/>
      <c r="J25" s="13"/>
    </row>
    <row r="26" ht="16" customHeight="1" spans="1:10" x14ac:dyDescent="0.25">
      <c r="A26" s="12" t="s">
        <v>40</v>
      </c>
      <c r="B26" s="12"/>
      <c r="C26" s="12"/>
      <c r="D26" s="12"/>
      <c r="E26" s="12"/>
      <c r="F26" s="12" t="s">
        <v>40</v>
      </c>
      <c r="G26" s="12"/>
      <c r="H26" s="12"/>
      <c r="I26" s="12"/>
      <c r="J26" s="12"/>
    </row>
    <row r="27" ht="16" customHeight="1" spans="1:1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ht="16" customHeight="1" spans="1:1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ht="16" customHeight="1" spans="1:1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13" t="s">
        <v>43</v>
      </c>
      <c r="B30" s="13"/>
      <c r="C30" s="13"/>
      <c r="D30" s="13"/>
      <c r="E30" s="13"/>
      <c r="F30" s="13" t="s">
        <v>44</v>
      </c>
      <c r="G30" s="13"/>
      <c r="H30" s="13"/>
      <c r="I30" s="13"/>
      <c r="J30" s="13"/>
    </row>
    <row r="31" ht="16" customHeight="1" spans="1:10" x14ac:dyDescent="0.25">
      <c r="A31" s="12" t="s">
        <v>40</v>
      </c>
      <c r="B31" s="12"/>
      <c r="C31" s="12"/>
      <c r="D31" s="12"/>
      <c r="E31" s="12"/>
      <c r="F31" s="12" t="s">
        <v>40</v>
      </c>
      <c r="G31" s="12"/>
      <c r="H31" s="12"/>
      <c r="I31" s="12"/>
      <c r="J31" s="12"/>
    </row>
    <row r="32" ht="16" customHeight="1" spans="1:1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ht="16" customHeight="1" spans="1:1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ht="16" customHeight="1" spans="1:1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5">
      <c r="A35" s="13" t="s">
        <v>45</v>
      </c>
      <c r="B35" s="13"/>
      <c r="C35" s="13"/>
      <c r="D35" s="13"/>
      <c r="E35" s="13"/>
      <c r="F35" s="13" t="s">
        <v>46</v>
      </c>
      <c r="G35" s="13"/>
      <c r="H35" s="13"/>
      <c r="I35" s="13"/>
      <c r="J35" s="13"/>
    </row>
    <row r="36" ht="16" customHeight="1" spans="1:5" x14ac:dyDescent="0.25">
      <c r="A36" s="12" t="s">
        <v>40</v>
      </c>
      <c r="B36" s="12"/>
      <c r="C36" s="12"/>
      <c r="D36" s="12"/>
      <c r="E36" s="12"/>
    </row>
    <row r="37" ht="16" customHeight="1" spans="1:5" x14ac:dyDescent="0.25">
      <c r="A37" s="12"/>
      <c r="B37" s="12"/>
      <c r="C37" s="12"/>
      <c r="D37" s="12"/>
      <c r="E37" s="12"/>
    </row>
    <row r="38" ht="16" customHeight="1" spans="1:5" x14ac:dyDescent="0.25">
      <c r="A38" s="12"/>
      <c r="B38" s="12"/>
      <c r="C38" s="12"/>
      <c r="D38" s="12"/>
      <c r="E38" s="12"/>
    </row>
    <row r="39" ht="16" customHeight="1" spans="1:5" x14ac:dyDescent="0.25">
      <c r="A39" s="12"/>
      <c r="B39" s="12"/>
      <c r="C39" s="12"/>
      <c r="D39" s="12"/>
      <c r="E39" s="12"/>
    </row>
    <row r="40" spans="1:5" x14ac:dyDescent="0.25">
      <c r="A40" s="13" t="s">
        <v>47</v>
      </c>
      <c r="B40" s="13"/>
      <c r="C40" s="13"/>
      <c r="D40" s="13"/>
      <c r="E40" s="13"/>
    </row>
    <row r="43" ht="24" customHeight="1" spans="1:10" x14ac:dyDescent="0.25">
      <c r="A43" s="1" t="s">
        <v>48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3" t="s">
        <v>2</v>
      </c>
      <c r="B45" s="3" t="s">
        <v>3</v>
      </c>
      <c r="C45" s="3"/>
      <c r="D45" s="3"/>
      <c r="E45" s="3" t="s">
        <v>4</v>
      </c>
      <c r="F45" s="3"/>
      <c r="G45" s="3"/>
      <c r="H45" s="14"/>
      <c r="I45" s="14"/>
      <c r="J45" s="14"/>
    </row>
    <row r="46" spans="1:10" x14ac:dyDescent="0.25">
      <c r="A46" s="4" t="s">
        <v>6</v>
      </c>
      <c r="B46" s="5" t="s">
        <v>7</v>
      </c>
      <c r="C46" s="5"/>
      <c r="D46" s="5"/>
      <c r="E46" s="5" t="s">
        <v>49</v>
      </c>
      <c r="F46" s="5"/>
      <c r="G46" s="5"/>
      <c r="H46" s="14"/>
      <c r="I46" s="14"/>
      <c r="J46" s="14"/>
    </row>
    <row r="47" spans="1:10" x14ac:dyDescent="0.25">
      <c r="A47" s="4" t="s">
        <v>8</v>
      </c>
      <c r="B47" s="6" t="s">
        <v>50</v>
      </c>
      <c r="C47" s="6"/>
      <c r="D47" s="6"/>
      <c r="E47" s="6" t="s">
        <v>51</v>
      </c>
      <c r="F47" s="6"/>
      <c r="G47" s="6"/>
      <c r="H47" s="14"/>
      <c r="I47" s="14"/>
      <c r="J47" s="14"/>
    </row>
    <row r="48" spans="1:10" x14ac:dyDescent="0.25">
      <c r="A48" s="4" t="s">
        <v>12</v>
      </c>
      <c r="B48" s="5" t="s">
        <v>52</v>
      </c>
      <c r="C48" s="5"/>
      <c r="D48" s="5"/>
      <c r="E48" s="5" t="s">
        <v>13</v>
      </c>
      <c r="F48" s="5"/>
      <c r="G48" s="5"/>
      <c r="H48" s="14"/>
      <c r="I48" s="14"/>
      <c r="J48" s="14"/>
    </row>
    <row r="49" spans="1:10" x14ac:dyDescent="0.25">
      <c r="A49" s="7" t="s">
        <v>14</v>
      </c>
      <c r="B49" s="8" t="s">
        <v>53</v>
      </c>
      <c r="C49" s="5" t="s">
        <v>19</v>
      </c>
      <c r="D49" s="9">
        <v>3</v>
      </c>
      <c r="E49" s="8" t="s">
        <v>54</v>
      </c>
      <c r="F49" s="5" t="s">
        <v>24</v>
      </c>
      <c r="G49" s="9">
        <v>5</v>
      </c>
      <c r="H49" s="14"/>
      <c r="I49" s="14"/>
      <c r="J49" s="14"/>
    </row>
    <row r="50" spans="1:10" x14ac:dyDescent="0.25">
      <c r="A50" s="7" t="s">
        <v>17</v>
      </c>
      <c r="B50" s="8" t="s">
        <v>55</v>
      </c>
      <c r="C50" s="5" t="s">
        <v>24</v>
      </c>
      <c r="D50" s="9">
        <v>6</v>
      </c>
      <c r="E50" s="8" t="s">
        <v>56</v>
      </c>
      <c r="F50" s="5" t="s">
        <v>16</v>
      </c>
      <c r="G50" s="9">
        <v>1</v>
      </c>
      <c r="H50" s="14"/>
      <c r="I50" s="14"/>
      <c r="J50" s="14"/>
    </row>
    <row r="51" spans="1:10" x14ac:dyDescent="0.25">
      <c r="A51" s="7" t="s">
        <v>20</v>
      </c>
      <c r="B51" s="8" t="s">
        <v>57</v>
      </c>
      <c r="C51" s="5" t="s">
        <v>16</v>
      </c>
      <c r="D51" s="9">
        <v>2</v>
      </c>
      <c r="E51" s="8" t="s">
        <v>21</v>
      </c>
      <c r="F51" s="5" t="s">
        <v>19</v>
      </c>
      <c r="G51" s="9">
        <v>3</v>
      </c>
      <c r="H51" s="14"/>
      <c r="I51" s="14"/>
      <c r="J51" s="14"/>
    </row>
    <row r="52" spans="1:10" x14ac:dyDescent="0.25">
      <c r="A52" s="7" t="s">
        <v>22</v>
      </c>
      <c r="B52" s="8" t="s">
        <v>58</v>
      </c>
      <c r="C52" s="5" t="s">
        <v>59</v>
      </c>
      <c r="D52" s="9">
        <v>8</v>
      </c>
      <c r="E52" s="8" t="s">
        <v>60</v>
      </c>
      <c r="F52" s="5" t="s">
        <v>19</v>
      </c>
      <c r="G52" s="9">
        <v>3</v>
      </c>
      <c r="H52" s="14"/>
      <c r="I52" s="14"/>
      <c r="J52" s="14"/>
    </row>
    <row r="53" spans="1:10" x14ac:dyDescent="0.25">
      <c r="A53" s="7" t="s">
        <v>25</v>
      </c>
      <c r="B53" s="8" t="s">
        <v>61</v>
      </c>
      <c r="C53" s="5" t="s">
        <v>24</v>
      </c>
      <c r="D53" s="9">
        <v>6</v>
      </c>
      <c r="E53" s="8" t="s">
        <v>26</v>
      </c>
      <c r="F53" s="5" t="s">
        <v>19</v>
      </c>
      <c r="G53" s="9">
        <v>4</v>
      </c>
      <c r="H53" s="14"/>
      <c r="I53" s="14"/>
      <c r="J53" s="14"/>
    </row>
    <row r="54" spans="1:10" x14ac:dyDescent="0.25">
      <c r="A54" s="4" t="s">
        <v>27</v>
      </c>
      <c r="B54" s="4" t="s">
        <v>28</v>
      </c>
      <c r="C54" s="4"/>
      <c r="D54" s="10">
        <f>SUM(D49:D53)</f>
      </c>
      <c r="E54" s="4" t="s">
        <v>28</v>
      </c>
      <c r="F54" s="4"/>
      <c r="G54" s="10">
        <f>SUM(G49:G53)</f>
      </c>
      <c r="H54" s="14"/>
      <c r="I54" s="14"/>
      <c r="J54" s="14"/>
    </row>
    <row r="55" spans="1:10" x14ac:dyDescent="0.25">
      <c r="A55" s="4" t="s">
        <v>27</v>
      </c>
      <c r="B55" s="4" t="s">
        <v>29</v>
      </c>
      <c r="C55" s="4"/>
      <c r="D55" s="5">
        <f>ROUND(D54/5,1)</f>
      </c>
      <c r="E55" s="4" t="s">
        <v>29</v>
      </c>
      <c r="F55" s="4"/>
      <c r="G55" s="5">
        <f>ROUND(G54/5,1)</f>
      </c>
      <c r="H55" s="14"/>
      <c r="I55" s="14"/>
      <c r="J55" s="14"/>
    </row>
    <row r="56" spans="1:10" x14ac:dyDescent="0.25">
      <c r="A56" s="3" t="s">
        <v>30</v>
      </c>
      <c r="B56" s="10">
        <f>D54&amp;"/5 = "&amp;TEXT(D55,"0.0")&amp;" → "&amp;ROUND(D55,0)</f>
      </c>
      <c r="C56" s="10"/>
      <c r="D56" s="10"/>
      <c r="E56" s="10">
        <f>G54&amp;"/5 = "&amp;TEXT(G55,"0.0")&amp;" → "&amp;ROUND(G55,0)</f>
      </c>
      <c r="F56" s="10"/>
      <c r="G56" s="10"/>
      <c r="H56" s="14"/>
      <c r="I56" s="14"/>
      <c r="J56" s="14"/>
    </row>
    <row r="57" spans="1:10" x14ac:dyDescent="0.25">
      <c r="A57" s="4" t="s">
        <v>31</v>
      </c>
      <c r="B57" s="5" t="s">
        <v>62</v>
      </c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4" t="s">
        <v>33</v>
      </c>
      <c r="B58" s="5" t="s">
        <v>63</v>
      </c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4" t="s">
        <v>35</v>
      </c>
      <c r="B59" s="5" t="s">
        <v>64</v>
      </c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4" t="s">
        <v>37</v>
      </c>
      <c r="B60" s="5" t="s">
        <v>65</v>
      </c>
      <c r="C60" s="5"/>
      <c r="D60" s="5"/>
      <c r="E60" s="5"/>
      <c r="F60" s="5"/>
      <c r="G60" s="5"/>
      <c r="H60" s="5"/>
      <c r="I60" s="5"/>
      <c r="J60" s="5"/>
    </row>
    <row r="62" spans="1:10" x14ac:dyDescent="0.25">
      <c r="A62" s="11" t="s">
        <v>39</v>
      </c>
      <c r="B62" s="11"/>
      <c r="C62" s="11"/>
      <c r="D62" s="11"/>
      <c r="E62" s="11"/>
      <c r="F62" s="11"/>
      <c r="G62" s="11"/>
      <c r="H62" s="11"/>
      <c r="I62" s="11"/>
      <c r="J62" s="11"/>
    </row>
    <row r="63" ht="16" customHeight="1" spans="1:10" x14ac:dyDescent="0.25">
      <c r="A63" s="12" t="s">
        <v>40</v>
      </c>
      <c r="B63" s="12"/>
      <c r="C63" s="12"/>
      <c r="D63" s="12"/>
      <c r="E63" s="12"/>
      <c r="F63" s="12" t="s">
        <v>40</v>
      </c>
      <c r="G63" s="12"/>
      <c r="H63" s="12"/>
      <c r="I63" s="12"/>
      <c r="J63" s="12"/>
    </row>
    <row r="64" ht="16" customHeight="1" spans="1:10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ht="16" customHeight="1" spans="1:10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ht="16" customHeight="1" spans="1:10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25">
      <c r="A67" s="13" t="s">
        <v>41</v>
      </c>
      <c r="B67" s="13"/>
      <c r="C67" s="13"/>
      <c r="D67" s="13"/>
      <c r="E67" s="13"/>
      <c r="F67" s="13" t="s">
        <v>42</v>
      </c>
      <c r="G67" s="13"/>
      <c r="H67" s="13"/>
      <c r="I67" s="13"/>
      <c r="J67" s="13"/>
    </row>
    <row r="68" ht="16" customHeight="1" spans="1:10" x14ac:dyDescent="0.25">
      <c r="A68" s="12" t="s">
        <v>40</v>
      </c>
      <c r="B68" s="12"/>
      <c r="C68" s="12"/>
      <c r="D68" s="12"/>
      <c r="E68" s="12"/>
      <c r="F68" s="12" t="s">
        <v>40</v>
      </c>
      <c r="G68" s="12"/>
      <c r="H68" s="12"/>
      <c r="I68" s="12"/>
      <c r="J68" s="12"/>
    </row>
    <row r="69" ht="16" customHeight="1" spans="1:10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ht="16" customHeight="1" spans="1:10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ht="16" customHeight="1" spans="1:10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25">
      <c r="A72" s="13" t="s">
        <v>43</v>
      </c>
      <c r="B72" s="13"/>
      <c r="C72" s="13"/>
      <c r="D72" s="13"/>
      <c r="E72" s="13"/>
      <c r="F72" s="13" t="s">
        <v>44</v>
      </c>
      <c r="G72" s="13"/>
      <c r="H72" s="13"/>
      <c r="I72" s="13"/>
      <c r="J72" s="13"/>
    </row>
    <row r="73" ht="16" customHeight="1" spans="1:10" x14ac:dyDescent="0.25">
      <c r="A73" s="12" t="s">
        <v>40</v>
      </c>
      <c r="B73" s="12"/>
      <c r="C73" s="12"/>
      <c r="D73" s="12"/>
      <c r="E73" s="12"/>
      <c r="F73" s="12" t="s">
        <v>40</v>
      </c>
      <c r="G73" s="12"/>
      <c r="H73" s="12"/>
      <c r="I73" s="12"/>
      <c r="J73" s="12"/>
    </row>
    <row r="74" ht="16" customHeight="1" spans="1:10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ht="16" customHeight="1" spans="1:10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ht="16" customHeight="1" spans="1:10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25">
      <c r="A77" s="13" t="s">
        <v>45</v>
      </c>
      <c r="B77" s="13"/>
      <c r="C77" s="13"/>
      <c r="D77" s="13"/>
      <c r="E77" s="13"/>
      <c r="F77" s="13" t="s">
        <v>46</v>
      </c>
      <c r="G77" s="13"/>
      <c r="H77" s="13"/>
      <c r="I77" s="13"/>
      <c r="J77" s="13"/>
    </row>
    <row r="78" ht="16" customHeight="1" spans="1:5" x14ac:dyDescent="0.25">
      <c r="A78" s="12" t="s">
        <v>40</v>
      </c>
      <c r="B78" s="12"/>
      <c r="C78" s="12"/>
      <c r="D78" s="12"/>
      <c r="E78" s="12"/>
    </row>
    <row r="79" ht="16" customHeight="1" spans="1:5" x14ac:dyDescent="0.25">
      <c r="A79" s="12"/>
      <c r="B79" s="12"/>
      <c r="C79" s="12"/>
      <c r="D79" s="12"/>
      <c r="E79" s="12"/>
    </row>
    <row r="80" ht="16" customHeight="1" spans="1:5" x14ac:dyDescent="0.25">
      <c r="A80" s="12"/>
      <c r="B80" s="12"/>
      <c r="C80" s="12"/>
      <c r="D80" s="12"/>
      <c r="E80" s="12"/>
    </row>
    <row r="81" ht="16" customHeight="1" spans="1:5" x14ac:dyDescent="0.25">
      <c r="A81" s="12"/>
      <c r="B81" s="12"/>
      <c r="C81" s="12"/>
      <c r="D81" s="12"/>
      <c r="E81" s="12"/>
    </row>
    <row r="82" spans="1:5" x14ac:dyDescent="0.25">
      <c r="A82" s="13" t="s">
        <v>47</v>
      </c>
      <c r="B82" s="13"/>
      <c r="C82" s="13"/>
      <c r="D82" s="13"/>
      <c r="E82" s="13"/>
    </row>
  </sheetData>
  <mergeCells count="77">
    <mergeCell ref="A1:J1"/>
    <mergeCell ref="A2:J2"/>
    <mergeCell ref="B3:D3"/>
    <mergeCell ref="E3:G3"/>
    <mergeCell ref="H3:J3"/>
    <mergeCell ref="B4:D4"/>
    <mergeCell ref="E4:G4"/>
    <mergeCell ref="H4:J4"/>
    <mergeCell ref="B5:D5"/>
    <mergeCell ref="E5:G5"/>
    <mergeCell ref="H5:J5"/>
    <mergeCell ref="B6:D6"/>
    <mergeCell ref="E6:G6"/>
    <mergeCell ref="H6:J6"/>
    <mergeCell ref="B12:C12"/>
    <mergeCell ref="E12:F12"/>
    <mergeCell ref="H12:I12"/>
    <mergeCell ref="B13:C13"/>
    <mergeCell ref="E13:F13"/>
    <mergeCell ref="H13:I13"/>
    <mergeCell ref="B14:D14"/>
    <mergeCell ref="E14:G14"/>
    <mergeCell ref="H14:J14"/>
    <mergeCell ref="B15:J15"/>
    <mergeCell ref="B16:J16"/>
    <mergeCell ref="B17:J17"/>
    <mergeCell ref="B18:J18"/>
    <mergeCell ref="A20:J20"/>
    <mergeCell ref="A21:E24"/>
    <mergeCell ref="F21:J24"/>
    <mergeCell ref="A25:E25"/>
    <mergeCell ref="F25:J25"/>
    <mergeCell ref="A26:E29"/>
    <mergeCell ref="F26:J29"/>
    <mergeCell ref="A30:E30"/>
    <mergeCell ref="F30:J30"/>
    <mergeCell ref="A31:E34"/>
    <mergeCell ref="F31:J34"/>
    <mergeCell ref="A35:E35"/>
    <mergeCell ref="F35:J35"/>
    <mergeCell ref="A36:E39"/>
    <mergeCell ref="A40:E40"/>
    <mergeCell ref="A43:J43"/>
    <mergeCell ref="A44:J44"/>
    <mergeCell ref="B45:D45"/>
    <mergeCell ref="E45:G45"/>
    <mergeCell ref="B46:D46"/>
    <mergeCell ref="E46:G46"/>
    <mergeCell ref="B47:D47"/>
    <mergeCell ref="E47:G47"/>
    <mergeCell ref="B48:D48"/>
    <mergeCell ref="E48:G48"/>
    <mergeCell ref="B54:C54"/>
    <mergeCell ref="E54:F54"/>
    <mergeCell ref="B55:C55"/>
    <mergeCell ref="E55:F55"/>
    <mergeCell ref="B56:D56"/>
    <mergeCell ref="E56:G56"/>
    <mergeCell ref="B57:J57"/>
    <mergeCell ref="B58:J58"/>
    <mergeCell ref="B59:J59"/>
    <mergeCell ref="B60:J60"/>
    <mergeCell ref="A62:J62"/>
    <mergeCell ref="A63:E66"/>
    <mergeCell ref="F63:J66"/>
    <mergeCell ref="A67:E67"/>
    <mergeCell ref="F67:J67"/>
    <mergeCell ref="A68:E71"/>
    <mergeCell ref="F68:J71"/>
    <mergeCell ref="A72:E72"/>
    <mergeCell ref="F72:J72"/>
    <mergeCell ref="A73:E76"/>
    <mergeCell ref="F73:J76"/>
    <mergeCell ref="A77:E77"/>
    <mergeCell ref="F77:J77"/>
    <mergeCell ref="A78:E81"/>
    <mergeCell ref="A82:E8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○○터널 절취사면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DiscontinuityShot</dc:creator>
  <dc:title/>
  <dc:subject/>
  <dc:description/>
  <cp:keywords/>
  <cp:category/>
  <cp:lastModifiedBy>Unknown</cp:lastModifiedBy>
  <dcterms:created xsi:type="dcterms:W3CDTF">2026-09-03T09:04:18Z</dcterms:created>
  <dcterms:modified xsi:type="dcterms:W3CDTF">2026-09-03T09:04:18Z</dcterms:modified>
</cp:coreProperties>
</file>